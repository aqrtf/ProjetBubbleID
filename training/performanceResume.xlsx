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fara\Documents\EPFL\cours\MA3\Projet\ProjetBubbleID\training\"/>
    </mc:Choice>
  </mc:AlternateContent>
  <xr:revisionPtr revIDLastSave="0" documentId="13_ncr:1_{9851EB63-118A-4D00-8A43-CDE9C8AF5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6" r:id="rId1"/>
    <sheet name="TIP" sheetId="7" r:id="rId2"/>
    <sheet name="CAV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8" l="1"/>
  <c r="Q15" i="8"/>
  <c r="P15" i="8"/>
  <c r="O15" i="8"/>
  <c r="N15" i="8"/>
  <c r="M15" i="8"/>
  <c r="R14" i="8"/>
  <c r="Q14" i="8"/>
  <c r="P14" i="8"/>
  <c r="O14" i="8"/>
  <c r="N14" i="8"/>
  <c r="M14" i="8"/>
  <c r="R13" i="8"/>
  <c r="Q13" i="8"/>
  <c r="P13" i="8"/>
  <c r="O13" i="8"/>
  <c r="N13" i="8"/>
  <c r="M13" i="8"/>
  <c r="R12" i="8"/>
  <c r="Q12" i="8"/>
  <c r="P12" i="8"/>
  <c r="O12" i="8"/>
  <c r="N12" i="8"/>
  <c r="M12" i="8"/>
  <c r="R11" i="8"/>
  <c r="Q11" i="8"/>
  <c r="P11" i="8"/>
  <c r="O11" i="8"/>
  <c r="N11" i="8"/>
  <c r="M11" i="8"/>
  <c r="R10" i="8"/>
  <c r="Q10" i="8"/>
  <c r="P10" i="8"/>
  <c r="O10" i="8"/>
  <c r="N10" i="8"/>
  <c r="M10" i="8"/>
  <c r="R8" i="8"/>
  <c r="Q8" i="8"/>
  <c r="P8" i="8"/>
  <c r="O8" i="8"/>
  <c r="N8" i="8"/>
  <c r="M8" i="8"/>
  <c r="R7" i="8"/>
  <c r="Q7" i="8"/>
  <c r="P7" i="8"/>
  <c r="O7" i="8"/>
  <c r="N7" i="8"/>
  <c r="M7" i="8"/>
  <c r="R6" i="8"/>
  <c r="Q6" i="8"/>
  <c r="P6" i="8"/>
  <c r="O6" i="8"/>
  <c r="N6" i="8"/>
  <c r="M6" i="8"/>
  <c r="R5" i="8"/>
  <c r="Q5" i="8"/>
  <c r="P5" i="8"/>
  <c r="O5" i="8"/>
  <c r="N5" i="8"/>
  <c r="M5" i="8"/>
  <c r="R4" i="8"/>
  <c r="Q4" i="8"/>
  <c r="P4" i="8"/>
  <c r="O4" i="8"/>
  <c r="N4" i="8"/>
  <c r="M4" i="8"/>
  <c r="R3" i="8"/>
  <c r="Q3" i="8"/>
  <c r="P3" i="8"/>
  <c r="O3" i="8"/>
  <c r="N3" i="8"/>
  <c r="M3" i="8"/>
  <c r="R15" i="7"/>
  <c r="Q15" i="7"/>
  <c r="P15" i="7"/>
  <c r="O15" i="7"/>
  <c r="N15" i="7"/>
  <c r="M15" i="7"/>
  <c r="R14" i="7"/>
  <c r="Q14" i="7"/>
  <c r="P14" i="7"/>
  <c r="O14" i="7"/>
  <c r="N14" i="7"/>
  <c r="M14" i="7"/>
  <c r="R13" i="7"/>
  <c r="Q13" i="7"/>
  <c r="P13" i="7"/>
  <c r="O13" i="7"/>
  <c r="N13" i="7"/>
  <c r="M13" i="7"/>
  <c r="R12" i="7"/>
  <c r="Q12" i="7"/>
  <c r="P12" i="7"/>
  <c r="O12" i="7"/>
  <c r="N12" i="7"/>
  <c r="M12" i="7"/>
  <c r="R11" i="7"/>
  <c r="Q11" i="7"/>
  <c r="P11" i="7"/>
  <c r="O11" i="7"/>
  <c r="N11" i="7"/>
  <c r="M11" i="7"/>
  <c r="R10" i="7"/>
  <c r="Q10" i="7"/>
  <c r="P10" i="7"/>
  <c r="O10" i="7"/>
  <c r="N10" i="7"/>
  <c r="M10" i="7"/>
  <c r="R8" i="7"/>
  <c r="Q8" i="7"/>
  <c r="P8" i="7"/>
  <c r="O8" i="7"/>
  <c r="N8" i="7"/>
  <c r="M8" i="7"/>
  <c r="R7" i="7"/>
  <c r="Q7" i="7"/>
  <c r="P7" i="7"/>
  <c r="O7" i="7"/>
  <c r="N7" i="7"/>
  <c r="M7" i="7"/>
  <c r="R6" i="7"/>
  <c r="Q6" i="7"/>
  <c r="P6" i="7"/>
  <c r="O6" i="7"/>
  <c r="N6" i="7"/>
  <c r="M6" i="7"/>
  <c r="R5" i="7"/>
  <c r="Q5" i="7"/>
  <c r="P5" i="7"/>
  <c r="O5" i="7"/>
  <c r="N5" i="7"/>
  <c r="M5" i="7"/>
  <c r="R4" i="7"/>
  <c r="Q4" i="7"/>
  <c r="P4" i="7"/>
  <c r="O4" i="7"/>
  <c r="N4" i="7"/>
  <c r="M4" i="7"/>
  <c r="R3" i="7"/>
  <c r="Q3" i="7"/>
  <c r="P3" i="7"/>
  <c r="O3" i="7"/>
  <c r="N3" i="7"/>
  <c r="M3" i="7"/>
  <c r="N10" i="6"/>
  <c r="O10" i="6"/>
  <c r="P10" i="6"/>
  <c r="Q10" i="6"/>
  <c r="R10" i="6"/>
  <c r="N11" i="6"/>
  <c r="O11" i="6"/>
  <c r="P11" i="6"/>
  <c r="Q11" i="6"/>
  <c r="R11" i="6"/>
  <c r="N12" i="6"/>
  <c r="O12" i="6"/>
  <c r="P12" i="6"/>
  <c r="Q12" i="6"/>
  <c r="R12" i="6"/>
  <c r="N13" i="6"/>
  <c r="O13" i="6"/>
  <c r="P13" i="6"/>
  <c r="Q13" i="6"/>
  <c r="R13" i="6"/>
  <c r="N14" i="6"/>
  <c r="O14" i="6"/>
  <c r="P14" i="6"/>
  <c r="Q14" i="6"/>
  <c r="R14" i="6"/>
  <c r="N15" i="6"/>
  <c r="O15" i="6"/>
  <c r="P15" i="6"/>
  <c r="Q15" i="6"/>
  <c r="R15" i="6"/>
  <c r="N3" i="6"/>
  <c r="O3" i="6"/>
  <c r="P3" i="6"/>
  <c r="Q3" i="6"/>
  <c r="R3" i="6"/>
  <c r="N4" i="6"/>
  <c r="O4" i="6"/>
  <c r="P4" i="6"/>
  <c r="Q4" i="6"/>
  <c r="R4" i="6"/>
  <c r="N5" i="6"/>
  <c r="O5" i="6"/>
  <c r="P5" i="6"/>
  <c r="Q5" i="6"/>
  <c r="R5" i="6"/>
  <c r="N6" i="6"/>
  <c r="O6" i="6"/>
  <c r="P6" i="6"/>
  <c r="Q6" i="6"/>
  <c r="R6" i="6"/>
  <c r="N7" i="6"/>
  <c r="O7" i="6"/>
  <c r="P7" i="6"/>
  <c r="Q7" i="6"/>
  <c r="R7" i="6"/>
  <c r="N8" i="6"/>
  <c r="O8" i="6"/>
  <c r="P8" i="6"/>
  <c r="Q8" i="6"/>
  <c r="R8" i="6"/>
  <c r="M11" i="6"/>
  <c r="M12" i="6"/>
  <c r="M13" i="6"/>
  <c r="M14" i="6"/>
  <c r="M15" i="6"/>
  <c r="M10" i="6"/>
  <c r="M4" i="6"/>
  <c r="M5" i="6"/>
  <c r="M6" i="6"/>
  <c r="M7" i="6"/>
  <c r="M8" i="6"/>
  <c r="M3" i="6"/>
</calcChain>
</file>

<file path=xl/sharedStrings.xml><?xml version="1.0" encoding="utf-8"?>
<sst xmlns="http://schemas.openxmlformats.org/spreadsheetml/2006/main" count="162" uniqueCount="21">
  <si>
    <t>RELATIVE INCREASE</t>
  </si>
  <si>
    <t>Metric</t>
  </si>
  <si>
    <t>IoU</t>
  </si>
  <si>
    <t>Area</t>
  </si>
  <si>
    <t>old</t>
  </si>
  <si>
    <t>all</t>
  </si>
  <si>
    <t>all_jpg</t>
  </si>
  <si>
    <t>cav</t>
  </si>
  <si>
    <t>tip</t>
  </si>
  <si>
    <t>AP</t>
  </si>
  <si>
    <t>0.50:0.95</t>
  </si>
  <si>
    <t>0.50</t>
  </si>
  <si>
    <t>0.75</t>
  </si>
  <si>
    <t>small</t>
  </si>
  <si>
    <t>medium</t>
  </si>
  <si>
    <t>large</t>
  </si>
  <si>
    <t>AR</t>
  </si>
  <si>
    <t xml:space="preserve"> 0.50:0.95</t>
  </si>
  <si>
    <t>maxDets</t>
  </si>
  <si>
    <t>cav_jpeg</t>
  </si>
  <si>
    <t>tip_jpeg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</si>
</sst>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4">
    <xf numFmtId="0" fontId="0" fillId="0" borderId="0" xfId="0"/>
    <xf numFmtId="164" fontId="0" fillId="0" borderId="0" xfId="1" applyNumberFormat="1" applyFont="1"/>
    <xf numFmtId="0" fontId="2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"/>
  <sheetViews>
    <sheetView tabSelected="1" workbookViewId="0">
      <selection activeCell="I20" sqref="I20"/>
    </sheetView>
  </sheetViews>
  <sheetFormatPr baseColWidth="10" defaultColWidth="8.88671875" defaultRowHeight="14.4" x14ac:dyDescent="0.3"/>
  <sheetData>
    <row r="1" spans="1:18" x14ac:dyDescent="0.3">
      <c r="M1" s="3" t="s">
        <v>0</v>
      </c>
      <c r="N1" s="3"/>
      <c r="O1" s="3"/>
      <c r="P1" s="3"/>
      <c r="Q1" s="3"/>
      <c r="R1" s="3"/>
    </row>
    <row r="2" spans="1:18" x14ac:dyDescent="0.3">
      <c r="A2" s="2" t="s">
        <v>1</v>
      </c>
      <c r="B2" s="2" t="s">
        <v>2</v>
      </c>
      <c r="C2" s="2" t="s">
        <v>3</v>
      </c>
      <c r="D2" s="2" t="s">
        <v>18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19</v>
      </c>
      <c r="J2" s="2" t="s">
        <v>8</v>
      </c>
      <c r="K2" s="2" t="s">
        <v>20</v>
      </c>
      <c r="M2" s="2" t="s">
        <v>5</v>
      </c>
      <c r="N2" s="2" t="s">
        <v>6</v>
      </c>
      <c r="O2" s="2" t="s">
        <v>7</v>
      </c>
      <c r="P2" s="2" t="s">
        <v>19</v>
      </c>
      <c r="Q2" s="2" t="s">
        <v>8</v>
      </c>
      <c r="R2" s="2" t="s">
        <v>20</v>
      </c>
    </row>
    <row r="3" spans="1:18" x14ac:dyDescent="0.3">
      <c r="A3" t="s">
        <v>9</v>
      </c>
      <c r="B3" t="s">
        <v>10</v>
      </c>
      <c r="C3" t="s">
        <v>5</v>
      </c>
      <c r="D3">
        <v>100</v>
      </c>
      <c r="E3">
        <v>0.41699999999999998</v>
      </c>
      <c r="F3">
        <v>0.50900000000000001</v>
      </c>
      <c r="G3">
        <v>0.51800000000000002</v>
      </c>
      <c r="H3">
        <v>0.47199999999999998</v>
      </c>
      <c r="I3">
        <v>0.46899999999999997</v>
      </c>
      <c r="J3">
        <v>0.52300000000000002</v>
      </c>
      <c r="K3">
        <v>0.51700000000000002</v>
      </c>
      <c r="M3" s="1">
        <f>(F3-$E3)/$E3</f>
        <v>0.22062350119904084</v>
      </c>
      <c r="N3" s="1">
        <f t="shared" ref="N3:R8" si="0">(G3-$E3)/$E3</f>
        <v>0.24220623501199051</v>
      </c>
      <c r="O3" s="1">
        <f t="shared" si="0"/>
        <v>0.13189448441247001</v>
      </c>
      <c r="P3" s="1">
        <f t="shared" si="0"/>
        <v>0.12470023980815347</v>
      </c>
      <c r="Q3" s="1">
        <f t="shared" si="0"/>
        <v>0.2541966426858514</v>
      </c>
      <c r="R3" s="1">
        <f t="shared" si="0"/>
        <v>0.23980815347721832</v>
      </c>
    </row>
    <row r="4" spans="1:18" x14ac:dyDescent="0.3">
      <c r="A4" t="s">
        <v>9</v>
      </c>
      <c r="B4" t="s">
        <v>11</v>
      </c>
      <c r="C4" t="s">
        <v>5</v>
      </c>
      <c r="D4">
        <v>100</v>
      </c>
      <c r="E4">
        <v>0.57399999999999995</v>
      </c>
      <c r="F4">
        <v>0.69</v>
      </c>
      <c r="G4">
        <v>0.69899999999999995</v>
      </c>
      <c r="H4">
        <v>0.65700000000000003</v>
      </c>
      <c r="I4">
        <v>0.65100000000000002</v>
      </c>
      <c r="J4">
        <v>0.68400000000000005</v>
      </c>
      <c r="K4">
        <v>0.68</v>
      </c>
      <c r="M4" s="1">
        <f t="shared" ref="M4:M15" si="1">(F4-$E4)/$E4</f>
        <v>0.20209059233449478</v>
      </c>
      <c r="N4" s="1">
        <f t="shared" si="0"/>
        <v>0.21777003484320559</v>
      </c>
      <c r="O4" s="1">
        <f t="shared" si="0"/>
        <v>0.14459930313588865</v>
      </c>
      <c r="P4" s="1">
        <f t="shared" si="0"/>
        <v>0.13414634146341475</v>
      </c>
      <c r="Q4" s="1">
        <f t="shared" si="0"/>
        <v>0.19163763066202108</v>
      </c>
      <c r="R4" s="1">
        <f t="shared" si="0"/>
        <v>0.1846689895470385</v>
      </c>
    </row>
    <row r="5" spans="1:18" x14ac:dyDescent="0.3">
      <c r="A5" t="s">
        <v>9</v>
      </c>
      <c r="B5" t="s">
        <v>12</v>
      </c>
      <c r="C5" t="s">
        <v>5</v>
      </c>
      <c r="D5">
        <v>100</v>
      </c>
      <c r="E5">
        <v>0.51600000000000001</v>
      </c>
      <c r="F5">
        <v>0.57399999999999995</v>
      </c>
      <c r="G5">
        <v>0.57499999999999996</v>
      </c>
      <c r="H5">
        <v>0.53300000000000003</v>
      </c>
      <c r="I5">
        <v>0.53400000000000003</v>
      </c>
      <c r="J5">
        <v>0.56399999999999995</v>
      </c>
      <c r="K5">
        <v>0.56599999999999995</v>
      </c>
      <c r="M5" s="1">
        <f t="shared" si="1"/>
        <v>0.11240310077519368</v>
      </c>
      <c r="N5" s="1">
        <f t="shared" si="0"/>
        <v>0.11434108527131771</v>
      </c>
      <c r="O5" s="1">
        <f t="shared" si="0"/>
        <v>3.2945736434108558E-2</v>
      </c>
      <c r="P5" s="1">
        <f t="shared" si="0"/>
        <v>3.4883720930232585E-2</v>
      </c>
      <c r="Q5" s="1">
        <f t="shared" si="0"/>
        <v>9.3023255813953348E-2</v>
      </c>
      <c r="R5" s="1">
        <f t="shared" si="0"/>
        <v>9.6899224806201417E-2</v>
      </c>
    </row>
    <row r="6" spans="1:18" x14ac:dyDescent="0.3">
      <c r="A6" t="s">
        <v>9</v>
      </c>
      <c r="B6" t="s">
        <v>10</v>
      </c>
      <c r="C6" t="s">
        <v>13</v>
      </c>
      <c r="D6">
        <v>100</v>
      </c>
      <c r="E6">
        <v>0.193</v>
      </c>
      <c r="F6">
        <v>0.26600000000000001</v>
      </c>
      <c r="G6">
        <v>0.28199999999999997</v>
      </c>
      <c r="H6">
        <v>0.20300000000000001</v>
      </c>
      <c r="I6">
        <v>0.255</v>
      </c>
      <c r="J6">
        <v>0.29299999999999998</v>
      </c>
      <c r="K6">
        <v>0.28599999999999998</v>
      </c>
      <c r="M6" s="1">
        <f t="shared" si="1"/>
        <v>0.37823834196891193</v>
      </c>
      <c r="N6" s="1">
        <f t="shared" si="0"/>
        <v>0.4611398963730568</v>
      </c>
      <c r="O6" s="1">
        <f t="shared" si="0"/>
        <v>5.1813471502590719E-2</v>
      </c>
      <c r="P6" s="1">
        <f t="shared" si="0"/>
        <v>0.32124352331606215</v>
      </c>
      <c r="Q6" s="1">
        <f t="shared" si="0"/>
        <v>0.51813471502590658</v>
      </c>
      <c r="R6" s="1">
        <f t="shared" si="0"/>
        <v>0.48186528497409309</v>
      </c>
    </row>
    <row r="7" spans="1:18" x14ac:dyDescent="0.3">
      <c r="A7" t="s">
        <v>9</v>
      </c>
      <c r="B7" t="s">
        <v>10</v>
      </c>
      <c r="C7" t="s">
        <v>14</v>
      </c>
      <c r="D7">
        <v>100</v>
      </c>
      <c r="E7">
        <v>0.48</v>
      </c>
      <c r="F7">
        <v>0.56799999999999995</v>
      </c>
      <c r="G7">
        <v>0.57399999999999995</v>
      </c>
      <c r="H7">
        <v>0.52800000000000002</v>
      </c>
      <c r="I7">
        <v>0.51700000000000002</v>
      </c>
      <c r="J7">
        <v>0.59499999999999997</v>
      </c>
      <c r="K7">
        <v>0.59</v>
      </c>
      <c r="M7" s="1">
        <f t="shared" si="1"/>
        <v>0.18333333333333326</v>
      </c>
      <c r="N7" s="1">
        <f t="shared" si="0"/>
        <v>0.19583333333333328</v>
      </c>
      <c r="O7" s="1">
        <f t="shared" si="0"/>
        <v>0.10000000000000009</v>
      </c>
      <c r="P7" s="1">
        <f t="shared" si="0"/>
        <v>7.7083333333333406E-2</v>
      </c>
      <c r="Q7" s="1">
        <f t="shared" si="0"/>
        <v>0.23958333333333331</v>
      </c>
      <c r="R7" s="1">
        <f t="shared" si="0"/>
        <v>0.22916666666666666</v>
      </c>
    </row>
    <row r="8" spans="1:18" x14ac:dyDescent="0.3">
      <c r="A8" t="s">
        <v>9</v>
      </c>
      <c r="B8" t="s">
        <v>10</v>
      </c>
      <c r="C8" t="s">
        <v>15</v>
      </c>
      <c r="D8">
        <v>100</v>
      </c>
      <c r="E8">
        <v>0.52200000000000002</v>
      </c>
      <c r="F8">
        <v>0.71299999999999997</v>
      </c>
      <c r="G8">
        <v>0.74399999999999999</v>
      </c>
      <c r="H8">
        <v>0.67700000000000005</v>
      </c>
      <c r="I8">
        <v>0.65600000000000003</v>
      </c>
      <c r="J8">
        <v>0.66700000000000004</v>
      </c>
      <c r="K8">
        <v>0.67800000000000005</v>
      </c>
      <c r="M8" s="1">
        <f t="shared" si="1"/>
        <v>0.36590038314176232</v>
      </c>
      <c r="N8" s="1">
        <f t="shared" si="0"/>
        <v>0.42528735632183901</v>
      </c>
      <c r="O8" s="1">
        <f t="shared" si="0"/>
        <v>0.2969348659003832</v>
      </c>
      <c r="P8" s="1">
        <f t="shared" si="0"/>
        <v>0.25670498084291188</v>
      </c>
      <c r="Q8" s="1">
        <f t="shared" si="0"/>
        <v>0.27777777777777779</v>
      </c>
      <c r="R8" s="1">
        <f t="shared" si="0"/>
        <v>0.2988505747126437</v>
      </c>
    </row>
    <row r="9" spans="1:18" x14ac:dyDescent="0.3">
      <c r="M9" s="1"/>
      <c r="N9" s="1"/>
      <c r="O9" s="1"/>
      <c r="P9" s="1"/>
    </row>
    <row r="10" spans="1:18" x14ac:dyDescent="0.3">
      <c r="A10" t="s">
        <v>16</v>
      </c>
      <c r="B10" t="s">
        <v>10</v>
      </c>
      <c r="C10" t="s">
        <v>5</v>
      </c>
      <c r="D10">
        <v>1</v>
      </c>
      <c r="E10">
        <v>0.17499999999999999</v>
      </c>
      <c r="F10">
        <v>0.221</v>
      </c>
      <c r="G10">
        <v>0.214</v>
      </c>
      <c r="H10">
        <v>0.188</v>
      </c>
      <c r="I10">
        <v>0.17699999999999999</v>
      </c>
      <c r="J10">
        <v>0.24299999999999999</v>
      </c>
      <c r="K10">
        <v>0.22700000000000001</v>
      </c>
      <c r="M10" s="1">
        <f t="shared" si="1"/>
        <v>0.26285714285714296</v>
      </c>
      <c r="N10" s="1">
        <f t="shared" ref="N10:N15" si="2">(G10-$E10)/$E10</f>
        <v>0.22285714285714292</v>
      </c>
      <c r="O10" s="1">
        <f t="shared" ref="O10:O15" si="3">(H10-$E10)/$E10</f>
        <v>7.4285714285714358E-2</v>
      </c>
      <c r="P10" s="1">
        <f t="shared" ref="P10:P15" si="4">(I10-$E10)/$E10</f>
        <v>1.1428571428571439E-2</v>
      </c>
      <c r="Q10" s="1">
        <f t="shared" ref="Q10:Q15" si="5">(J10-$E10)/$E10</f>
        <v>0.38857142857142862</v>
      </c>
      <c r="R10" s="1">
        <f t="shared" ref="R10:R15" si="6">(K10-$E10)/$E10</f>
        <v>0.29714285714285726</v>
      </c>
    </row>
    <row r="11" spans="1:18" x14ac:dyDescent="0.3">
      <c r="A11" t="s">
        <v>16</v>
      </c>
      <c r="B11" t="s">
        <v>10</v>
      </c>
      <c r="C11" t="s">
        <v>5</v>
      </c>
      <c r="D11">
        <v>10</v>
      </c>
      <c r="E11">
        <v>0.47699999999999998</v>
      </c>
      <c r="F11">
        <v>0.59299999999999997</v>
      </c>
      <c r="G11">
        <v>0.58899999999999997</v>
      </c>
      <c r="H11">
        <v>0.54200000000000004</v>
      </c>
      <c r="I11">
        <v>0.54600000000000004</v>
      </c>
      <c r="J11">
        <v>0.60099999999999998</v>
      </c>
      <c r="K11">
        <v>0.58899999999999997</v>
      </c>
      <c r="M11" s="1">
        <f t="shared" si="1"/>
        <v>0.24318658280922431</v>
      </c>
      <c r="N11" s="1">
        <f t="shared" si="2"/>
        <v>0.23480083857442346</v>
      </c>
      <c r="O11" s="1">
        <f t="shared" si="3"/>
        <v>0.13626834381551375</v>
      </c>
      <c r="P11" s="1">
        <f t="shared" si="4"/>
        <v>0.1446540880503146</v>
      </c>
      <c r="Q11" s="1">
        <f t="shared" si="5"/>
        <v>0.25995807127882603</v>
      </c>
      <c r="R11" s="1">
        <f t="shared" si="6"/>
        <v>0.23480083857442346</v>
      </c>
    </row>
    <row r="12" spans="1:18" x14ac:dyDescent="0.3">
      <c r="A12" t="s">
        <v>16</v>
      </c>
      <c r="B12" t="s">
        <v>17</v>
      </c>
      <c r="C12" t="s">
        <v>5</v>
      </c>
      <c r="D12">
        <v>100</v>
      </c>
      <c r="E12">
        <v>0.47699999999999998</v>
      </c>
      <c r="F12">
        <v>0.59299999999999997</v>
      </c>
      <c r="G12">
        <v>0.58899999999999997</v>
      </c>
      <c r="H12">
        <v>0.54200000000000004</v>
      </c>
      <c r="I12">
        <v>0.54600000000000004</v>
      </c>
      <c r="J12">
        <v>0.60099999999999998</v>
      </c>
      <c r="K12">
        <v>0.58899999999999997</v>
      </c>
      <c r="M12" s="1">
        <f t="shared" si="1"/>
        <v>0.24318658280922431</v>
      </c>
      <c r="N12" s="1">
        <f t="shared" si="2"/>
        <v>0.23480083857442346</v>
      </c>
      <c r="O12" s="1">
        <f t="shared" si="3"/>
        <v>0.13626834381551375</v>
      </c>
      <c r="P12" s="1">
        <f t="shared" si="4"/>
        <v>0.1446540880503146</v>
      </c>
      <c r="Q12" s="1">
        <f t="shared" si="5"/>
        <v>0.25995807127882603</v>
      </c>
      <c r="R12" s="1">
        <f t="shared" si="6"/>
        <v>0.23480083857442346</v>
      </c>
    </row>
    <row r="13" spans="1:18" x14ac:dyDescent="0.3">
      <c r="A13" t="s">
        <v>16</v>
      </c>
      <c r="B13" t="s">
        <v>10</v>
      </c>
      <c r="C13" t="s">
        <v>13</v>
      </c>
      <c r="D13">
        <v>100</v>
      </c>
      <c r="E13">
        <v>0.21</v>
      </c>
      <c r="F13">
        <v>0.28499999999999998</v>
      </c>
      <c r="G13">
        <v>0.29399999999999998</v>
      </c>
      <c r="H13">
        <v>0.21</v>
      </c>
      <c r="I13">
        <v>0.28299999999999997</v>
      </c>
      <c r="J13">
        <v>0.30599999999999999</v>
      </c>
      <c r="K13">
        <v>0.3</v>
      </c>
      <c r="M13" s="1">
        <f t="shared" si="1"/>
        <v>0.3571428571428571</v>
      </c>
      <c r="N13" s="1">
        <f t="shared" si="2"/>
        <v>0.39999999999999997</v>
      </c>
      <c r="O13" s="1">
        <f t="shared" si="3"/>
        <v>0</v>
      </c>
      <c r="P13" s="1">
        <f t="shared" si="4"/>
        <v>0.34761904761904755</v>
      </c>
      <c r="Q13" s="1">
        <f t="shared" si="5"/>
        <v>0.45714285714285718</v>
      </c>
      <c r="R13" s="1">
        <f t="shared" si="6"/>
        <v>0.42857142857142855</v>
      </c>
    </row>
    <row r="14" spans="1:18" x14ac:dyDescent="0.3">
      <c r="A14" t="s">
        <v>16</v>
      </c>
      <c r="B14" t="s">
        <v>10</v>
      </c>
      <c r="C14" t="s">
        <v>14</v>
      </c>
      <c r="D14">
        <v>100</v>
      </c>
      <c r="E14">
        <v>0.53500000000000003</v>
      </c>
      <c r="F14">
        <v>0.65300000000000002</v>
      </c>
      <c r="G14">
        <v>0.64400000000000002</v>
      </c>
      <c r="H14">
        <v>0.59299999999999997</v>
      </c>
      <c r="I14">
        <v>0.59</v>
      </c>
      <c r="J14">
        <v>0.67400000000000004</v>
      </c>
      <c r="K14">
        <v>0.66100000000000003</v>
      </c>
      <c r="M14" s="1">
        <f t="shared" si="1"/>
        <v>0.22056074766355138</v>
      </c>
      <c r="N14" s="1">
        <f t="shared" si="2"/>
        <v>0.20373831775700932</v>
      </c>
      <c r="O14" s="1">
        <f t="shared" si="3"/>
        <v>0.10841121495327091</v>
      </c>
      <c r="P14" s="1">
        <f t="shared" si="4"/>
        <v>0.10280373831775688</v>
      </c>
      <c r="Q14" s="1">
        <f t="shared" si="5"/>
        <v>0.25981308411214954</v>
      </c>
      <c r="R14" s="1">
        <f t="shared" si="6"/>
        <v>0.23551401869158878</v>
      </c>
    </row>
    <row r="15" spans="1:18" x14ac:dyDescent="0.3">
      <c r="A15" t="s">
        <v>16</v>
      </c>
      <c r="B15" t="s">
        <v>10</v>
      </c>
      <c r="C15" t="s">
        <v>15</v>
      </c>
      <c r="D15">
        <v>100</v>
      </c>
      <c r="E15">
        <v>0.6</v>
      </c>
      <c r="F15">
        <v>0.84399999999999997</v>
      </c>
      <c r="G15">
        <v>0.84699999999999998</v>
      </c>
      <c r="H15">
        <v>0.81200000000000006</v>
      </c>
      <c r="I15">
        <v>0.80200000000000005</v>
      </c>
      <c r="J15">
        <v>0.72299999999999998</v>
      </c>
      <c r="K15">
        <v>0.73799999999999999</v>
      </c>
      <c r="M15" s="1">
        <f t="shared" si="1"/>
        <v>0.40666666666666668</v>
      </c>
      <c r="N15" s="1">
        <f t="shared" si="2"/>
        <v>0.41166666666666668</v>
      </c>
      <c r="O15" s="1">
        <f t="shared" si="3"/>
        <v>0.3533333333333335</v>
      </c>
      <c r="P15" s="1">
        <f t="shared" si="4"/>
        <v>0.33666666666666678</v>
      </c>
      <c r="Q15" s="1">
        <f t="shared" si="5"/>
        <v>0.20500000000000002</v>
      </c>
      <c r="R15" s="1">
        <f t="shared" si="6"/>
        <v>0.23000000000000004</v>
      </c>
    </row>
  </sheetData>
  <mergeCells count="1">
    <mergeCell ref="M1:R1"/>
  </mergeCells>
  <conditionalFormatting sqref="M3:M15 N3:R8 N10:R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:P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5"/>
  <sheetViews>
    <sheetView workbookViewId="0">
      <selection activeCell="E23" sqref="E23"/>
    </sheetView>
  </sheetViews>
  <sheetFormatPr baseColWidth="10" defaultColWidth="8.88671875" defaultRowHeight="14.4" x14ac:dyDescent="0.3"/>
  <sheetData>
    <row r="1" spans="1:18" x14ac:dyDescent="0.3">
      <c r="M1" s="3" t="s">
        <v>0</v>
      </c>
      <c r="N1" s="3"/>
      <c r="O1" s="3"/>
      <c r="P1" s="3"/>
      <c r="Q1" s="3"/>
      <c r="R1" s="3"/>
    </row>
    <row r="2" spans="1:18" x14ac:dyDescent="0.3">
      <c r="A2" s="2" t="s">
        <v>1</v>
      </c>
      <c r="B2" s="2" t="s">
        <v>2</v>
      </c>
      <c r="C2" s="2" t="s">
        <v>3</v>
      </c>
      <c r="D2" s="2" t="s">
        <v>18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19</v>
      </c>
      <c r="J2" s="2" t="s">
        <v>8</v>
      </c>
      <c r="K2" s="2" t="s">
        <v>20</v>
      </c>
      <c r="M2" s="2" t="s">
        <v>5</v>
      </c>
      <c r="N2" s="2" t="s">
        <v>6</v>
      </c>
      <c r="O2" s="2" t="s">
        <v>7</v>
      </c>
      <c r="P2" s="2" t="s">
        <v>19</v>
      </c>
      <c r="Q2" s="2" t="s">
        <v>8</v>
      </c>
      <c r="R2" s="2" t="s">
        <v>20</v>
      </c>
    </row>
    <row r="3" spans="1:18" x14ac:dyDescent="0.3">
      <c r="A3" t="s">
        <v>9</v>
      </c>
      <c r="B3" t="s">
        <v>10</v>
      </c>
      <c r="C3" t="s">
        <v>5</v>
      </c>
      <c r="D3">
        <v>100</v>
      </c>
      <c r="E3">
        <v>0.47699999999999998</v>
      </c>
      <c r="F3">
        <v>0.56799999999999995</v>
      </c>
      <c r="G3">
        <v>0.59099999999999997</v>
      </c>
      <c r="H3">
        <v>0.51400000000000001</v>
      </c>
      <c r="I3">
        <v>0.50800000000000001</v>
      </c>
      <c r="J3">
        <v>0.60699999999999998</v>
      </c>
      <c r="K3">
        <v>0.60199999999999998</v>
      </c>
      <c r="M3" s="1">
        <f>(F3-$E3)/$E3</f>
        <v>0.19077568134171902</v>
      </c>
      <c r="N3" s="1">
        <f t="shared" ref="N3:R8" si="0">(G3-$E3)/$E3</f>
        <v>0.2389937106918239</v>
      </c>
      <c r="O3" s="1">
        <f t="shared" si="0"/>
        <v>7.7568134171907832E-2</v>
      </c>
      <c r="P3" s="1">
        <f t="shared" si="0"/>
        <v>6.4989517819706563E-2</v>
      </c>
      <c r="Q3" s="1">
        <f t="shared" si="0"/>
        <v>0.27253668763102729</v>
      </c>
      <c r="R3" s="1">
        <f t="shared" si="0"/>
        <v>0.26205450733752622</v>
      </c>
    </row>
    <row r="4" spans="1:18" x14ac:dyDescent="0.3">
      <c r="A4" t="s">
        <v>9</v>
      </c>
      <c r="B4" t="s">
        <v>11</v>
      </c>
      <c r="C4" t="s">
        <v>5</v>
      </c>
      <c r="D4">
        <v>100</v>
      </c>
      <c r="E4">
        <v>0.66400000000000003</v>
      </c>
      <c r="F4">
        <v>0.76</v>
      </c>
      <c r="G4">
        <v>0.77500000000000002</v>
      </c>
      <c r="H4">
        <v>0.69</v>
      </c>
      <c r="I4">
        <v>0.69099999999999995</v>
      </c>
      <c r="J4">
        <v>0.79800000000000004</v>
      </c>
      <c r="K4">
        <v>0.77800000000000002</v>
      </c>
      <c r="M4" s="1">
        <f t="shared" ref="M4:R15" si="1">(F4-$E4)/$E4</f>
        <v>0.14457831325301201</v>
      </c>
      <c r="N4" s="1">
        <f t="shared" si="0"/>
        <v>0.16716867469879515</v>
      </c>
      <c r="O4" s="1">
        <f t="shared" si="0"/>
        <v>3.9156626506023959E-2</v>
      </c>
      <c r="P4" s="1">
        <f t="shared" si="0"/>
        <v>4.0662650602409506E-2</v>
      </c>
      <c r="Q4" s="1">
        <f t="shared" si="0"/>
        <v>0.20180722891566266</v>
      </c>
      <c r="R4" s="1">
        <f t="shared" si="0"/>
        <v>0.17168674698795178</v>
      </c>
    </row>
    <row r="5" spans="1:18" x14ac:dyDescent="0.3">
      <c r="A5" t="s">
        <v>9</v>
      </c>
      <c r="B5" t="s">
        <v>12</v>
      </c>
      <c r="C5" t="s">
        <v>5</v>
      </c>
      <c r="D5">
        <v>100</v>
      </c>
      <c r="E5">
        <v>0.59399999999999997</v>
      </c>
      <c r="F5">
        <v>0.63600000000000001</v>
      </c>
      <c r="G5">
        <v>0.68200000000000005</v>
      </c>
      <c r="H5">
        <v>0.59199999999999997</v>
      </c>
      <c r="I5">
        <v>0.58499999999999996</v>
      </c>
      <c r="J5">
        <v>0.65500000000000003</v>
      </c>
      <c r="K5">
        <v>0.67500000000000004</v>
      </c>
      <c r="M5" s="1">
        <f t="shared" si="1"/>
        <v>7.0707070707070774E-2</v>
      </c>
      <c r="N5" s="1">
        <f t="shared" si="0"/>
        <v>0.14814814814814828</v>
      </c>
      <c r="O5" s="1">
        <f t="shared" si="0"/>
        <v>-3.3670033670033703E-3</v>
      </c>
      <c r="P5" s="1">
        <f t="shared" si="0"/>
        <v>-1.5151515151515166E-2</v>
      </c>
      <c r="Q5" s="1">
        <f t="shared" si="0"/>
        <v>0.1026936026936028</v>
      </c>
      <c r="R5" s="1">
        <f t="shared" si="0"/>
        <v>0.13636363636363649</v>
      </c>
    </row>
    <row r="6" spans="1:18" x14ac:dyDescent="0.3">
      <c r="A6" t="s">
        <v>9</v>
      </c>
      <c r="B6" t="s">
        <v>10</v>
      </c>
      <c r="C6" t="s">
        <v>13</v>
      </c>
      <c r="D6">
        <v>100</v>
      </c>
      <c r="E6">
        <v>0.156</v>
      </c>
      <c r="F6">
        <v>0.24299999999999999</v>
      </c>
      <c r="G6">
        <v>0.23599999999999999</v>
      </c>
      <c r="H6">
        <v>0.14499999999999999</v>
      </c>
      <c r="I6">
        <v>0.20200000000000001</v>
      </c>
      <c r="J6">
        <v>0.26500000000000001</v>
      </c>
      <c r="K6">
        <v>0.224</v>
      </c>
      <c r="M6" s="1">
        <f t="shared" si="1"/>
        <v>0.55769230769230771</v>
      </c>
      <c r="N6" s="1">
        <f t="shared" si="0"/>
        <v>0.51282051282051277</v>
      </c>
      <c r="O6" s="1">
        <f t="shared" si="0"/>
        <v>-7.0512820512820581E-2</v>
      </c>
      <c r="P6" s="1">
        <f t="shared" si="0"/>
        <v>0.29487179487179493</v>
      </c>
      <c r="Q6" s="1">
        <f t="shared" si="0"/>
        <v>0.69871794871794879</v>
      </c>
      <c r="R6" s="1">
        <f t="shared" si="0"/>
        <v>0.4358974358974359</v>
      </c>
    </row>
    <row r="7" spans="1:18" x14ac:dyDescent="0.3">
      <c r="A7" t="s">
        <v>9</v>
      </c>
      <c r="B7" t="s">
        <v>10</v>
      </c>
      <c r="C7" t="s">
        <v>14</v>
      </c>
      <c r="D7">
        <v>100</v>
      </c>
      <c r="E7">
        <v>0.53200000000000003</v>
      </c>
      <c r="F7">
        <v>0.63600000000000001</v>
      </c>
      <c r="G7">
        <v>0.66100000000000003</v>
      </c>
      <c r="H7">
        <v>0.57899999999999996</v>
      </c>
      <c r="I7">
        <v>0.56000000000000005</v>
      </c>
      <c r="J7">
        <v>0.67800000000000005</v>
      </c>
      <c r="K7">
        <v>0.67800000000000005</v>
      </c>
      <c r="M7" s="1">
        <f t="shared" si="1"/>
        <v>0.19548872180451124</v>
      </c>
      <c r="N7" s="1">
        <f t="shared" si="0"/>
        <v>0.2424812030075188</v>
      </c>
      <c r="O7" s="1">
        <f t="shared" si="0"/>
        <v>8.8345864661654006E-2</v>
      </c>
      <c r="P7" s="1">
        <f t="shared" si="0"/>
        <v>5.2631578947368467E-2</v>
      </c>
      <c r="Q7" s="1">
        <f t="shared" si="0"/>
        <v>0.27443609022556392</v>
      </c>
      <c r="R7" s="1">
        <f t="shared" si="0"/>
        <v>0.27443609022556392</v>
      </c>
    </row>
    <row r="8" spans="1:18" x14ac:dyDescent="0.3">
      <c r="A8" t="s">
        <v>9</v>
      </c>
      <c r="B8" t="s">
        <v>10</v>
      </c>
      <c r="C8" t="s">
        <v>15</v>
      </c>
      <c r="D8">
        <v>100</v>
      </c>
      <c r="E8">
        <v>0.42499999999999999</v>
      </c>
      <c r="F8">
        <v>0.48399999999999999</v>
      </c>
      <c r="G8">
        <v>0.51500000000000001</v>
      </c>
      <c r="H8">
        <v>0.46700000000000003</v>
      </c>
      <c r="I8">
        <v>0.47899999999999998</v>
      </c>
      <c r="J8">
        <v>0.52100000000000002</v>
      </c>
      <c r="K8">
        <v>0.52200000000000002</v>
      </c>
      <c r="M8" s="1">
        <f t="shared" si="1"/>
        <v>0.13882352941176471</v>
      </c>
      <c r="N8" s="1">
        <f t="shared" si="0"/>
        <v>0.21176470588235299</v>
      </c>
      <c r="O8" s="1">
        <f t="shared" si="0"/>
        <v>9.8823529411764796E-2</v>
      </c>
      <c r="P8" s="1">
        <f t="shared" si="0"/>
        <v>0.12705882352941175</v>
      </c>
      <c r="Q8" s="1">
        <f t="shared" si="0"/>
        <v>0.22588235294117653</v>
      </c>
      <c r="R8" s="1">
        <f t="shared" si="0"/>
        <v>0.22823529411764715</v>
      </c>
    </row>
    <row r="9" spans="1:18" x14ac:dyDescent="0.3">
      <c r="M9" s="1"/>
      <c r="N9" s="1"/>
      <c r="O9" s="1"/>
      <c r="P9" s="1"/>
    </row>
    <row r="10" spans="1:18" x14ac:dyDescent="0.3">
      <c r="A10" t="s">
        <v>16</v>
      </c>
      <c r="B10" t="s">
        <v>10</v>
      </c>
      <c r="C10" t="s">
        <v>5</v>
      </c>
      <c r="D10">
        <v>1</v>
      </c>
      <c r="E10">
        <v>0.20399999999999999</v>
      </c>
      <c r="F10">
        <v>0.253</v>
      </c>
      <c r="G10">
        <v>0.247</v>
      </c>
      <c r="H10">
        <v>0.20599999999999999</v>
      </c>
      <c r="I10">
        <v>0.2</v>
      </c>
      <c r="J10">
        <v>0.27800000000000002</v>
      </c>
      <c r="K10">
        <v>0.26300000000000001</v>
      </c>
      <c r="M10" s="1">
        <f t="shared" si="1"/>
        <v>0.24019607843137264</v>
      </c>
      <c r="N10" s="1">
        <f t="shared" si="1"/>
        <v>0.21078431372549025</v>
      </c>
      <c r="O10" s="1">
        <f t="shared" si="1"/>
        <v>9.8039215686274595E-3</v>
      </c>
      <c r="P10" s="1">
        <f t="shared" si="1"/>
        <v>-1.9607843137254784E-2</v>
      </c>
      <c r="Q10" s="1">
        <f t="shared" si="1"/>
        <v>0.3627450980392159</v>
      </c>
      <c r="R10" s="1">
        <f t="shared" si="1"/>
        <v>0.28921568627450994</v>
      </c>
    </row>
    <row r="11" spans="1:18" x14ac:dyDescent="0.3">
      <c r="A11" t="s">
        <v>16</v>
      </c>
      <c r="B11" t="s">
        <v>10</v>
      </c>
      <c r="C11" t="s">
        <v>5</v>
      </c>
      <c r="D11">
        <v>10</v>
      </c>
      <c r="E11">
        <v>0.54900000000000004</v>
      </c>
      <c r="F11">
        <v>0.64400000000000002</v>
      </c>
      <c r="G11">
        <v>0.64900000000000002</v>
      </c>
      <c r="H11">
        <v>0.56899999999999995</v>
      </c>
      <c r="I11">
        <v>0.57999999999999996</v>
      </c>
      <c r="J11">
        <v>0.68300000000000005</v>
      </c>
      <c r="K11">
        <v>0.66200000000000003</v>
      </c>
      <c r="M11" s="1">
        <f t="shared" si="1"/>
        <v>0.1730418943533697</v>
      </c>
      <c r="N11" s="1">
        <f t="shared" si="1"/>
        <v>0.18214936247723126</v>
      </c>
      <c r="O11" s="1">
        <f t="shared" si="1"/>
        <v>3.6429872495446096E-2</v>
      </c>
      <c r="P11" s="1">
        <f t="shared" si="1"/>
        <v>5.6466302367941555E-2</v>
      </c>
      <c r="Q11" s="1">
        <f t="shared" si="1"/>
        <v>0.24408014571948997</v>
      </c>
      <c r="R11" s="1">
        <f t="shared" si="1"/>
        <v>0.20582877959927137</v>
      </c>
    </row>
    <row r="12" spans="1:18" x14ac:dyDescent="0.3">
      <c r="A12" t="s">
        <v>16</v>
      </c>
      <c r="B12" t="s">
        <v>17</v>
      </c>
      <c r="C12" t="s">
        <v>5</v>
      </c>
      <c r="D12">
        <v>100</v>
      </c>
      <c r="E12">
        <v>0.54900000000000004</v>
      </c>
      <c r="F12">
        <v>0.64400000000000002</v>
      </c>
      <c r="G12">
        <v>0.64900000000000002</v>
      </c>
      <c r="H12">
        <v>0.56899999999999995</v>
      </c>
      <c r="I12">
        <v>0.57999999999999996</v>
      </c>
      <c r="J12">
        <v>0.68300000000000005</v>
      </c>
      <c r="K12">
        <v>0.66200000000000003</v>
      </c>
      <c r="M12" s="1">
        <f t="shared" si="1"/>
        <v>0.1730418943533697</v>
      </c>
      <c r="N12" s="1">
        <f t="shared" si="1"/>
        <v>0.18214936247723126</v>
      </c>
      <c r="O12" s="1">
        <f t="shared" si="1"/>
        <v>3.6429872495446096E-2</v>
      </c>
      <c r="P12" s="1">
        <f t="shared" si="1"/>
        <v>5.6466302367941555E-2</v>
      </c>
      <c r="Q12" s="1">
        <f t="shared" si="1"/>
        <v>0.24408014571948997</v>
      </c>
      <c r="R12" s="1">
        <f t="shared" si="1"/>
        <v>0.20582877959927137</v>
      </c>
    </row>
    <row r="13" spans="1:18" x14ac:dyDescent="0.3">
      <c r="A13" t="s">
        <v>16</v>
      </c>
      <c r="B13" t="s">
        <v>10</v>
      </c>
      <c r="C13" t="s">
        <v>13</v>
      </c>
      <c r="D13">
        <v>100</v>
      </c>
      <c r="E13">
        <v>0.16900000000000001</v>
      </c>
      <c r="F13">
        <v>0.25700000000000001</v>
      </c>
      <c r="G13">
        <v>0.249</v>
      </c>
      <c r="H13">
        <v>0.155</v>
      </c>
      <c r="I13">
        <v>0.22</v>
      </c>
      <c r="J13">
        <v>0.27800000000000002</v>
      </c>
      <c r="K13">
        <v>0.23499999999999999</v>
      </c>
      <c r="M13" s="1">
        <f t="shared" si="1"/>
        <v>0.52071005917159752</v>
      </c>
      <c r="N13" s="1">
        <f t="shared" si="1"/>
        <v>0.47337278106508868</v>
      </c>
      <c r="O13" s="1">
        <f t="shared" si="1"/>
        <v>-8.2840236686390595E-2</v>
      </c>
      <c r="P13" s="1">
        <f t="shared" si="1"/>
        <v>0.30177514792899401</v>
      </c>
      <c r="Q13" s="1">
        <f t="shared" si="1"/>
        <v>0.64497041420118351</v>
      </c>
      <c r="R13" s="1">
        <f t="shared" si="1"/>
        <v>0.39053254437869805</v>
      </c>
    </row>
    <row r="14" spans="1:18" x14ac:dyDescent="0.3">
      <c r="A14" t="s">
        <v>16</v>
      </c>
      <c r="B14" t="s">
        <v>10</v>
      </c>
      <c r="C14" t="s">
        <v>14</v>
      </c>
      <c r="D14">
        <v>100</v>
      </c>
      <c r="E14">
        <v>0.59699999999999998</v>
      </c>
      <c r="F14">
        <v>0.70699999999999996</v>
      </c>
      <c r="G14">
        <v>0.70899999999999996</v>
      </c>
      <c r="H14">
        <v>0.628</v>
      </c>
      <c r="I14">
        <v>0.628</v>
      </c>
      <c r="J14">
        <v>0.74299999999999999</v>
      </c>
      <c r="K14">
        <v>0.72799999999999998</v>
      </c>
      <c r="M14" s="1">
        <f t="shared" si="1"/>
        <v>0.18425460636515911</v>
      </c>
      <c r="N14" s="1">
        <f t="shared" si="1"/>
        <v>0.18760469011725292</v>
      </c>
      <c r="O14" s="1">
        <f t="shared" si="1"/>
        <v>5.1926298157453983E-2</v>
      </c>
      <c r="P14" s="1">
        <f t="shared" si="1"/>
        <v>5.1926298157453983E-2</v>
      </c>
      <c r="Q14" s="1">
        <f t="shared" si="1"/>
        <v>0.24455611390284762</v>
      </c>
      <c r="R14" s="1">
        <f t="shared" si="1"/>
        <v>0.21943048576214408</v>
      </c>
    </row>
    <row r="15" spans="1:18" x14ac:dyDescent="0.3">
      <c r="A15" t="s">
        <v>16</v>
      </c>
      <c r="B15" t="s">
        <v>10</v>
      </c>
      <c r="C15" t="s">
        <v>15</v>
      </c>
      <c r="D15">
        <v>100</v>
      </c>
      <c r="E15">
        <v>0.48299999999999998</v>
      </c>
      <c r="F15">
        <v>0.54300000000000004</v>
      </c>
      <c r="G15">
        <v>0.56000000000000005</v>
      </c>
      <c r="H15">
        <v>0.53500000000000003</v>
      </c>
      <c r="I15">
        <v>0.54100000000000004</v>
      </c>
      <c r="J15">
        <v>0.56899999999999995</v>
      </c>
      <c r="K15">
        <v>0.56799999999999995</v>
      </c>
      <c r="M15" s="1">
        <f t="shared" si="1"/>
        <v>0.12422360248447216</v>
      </c>
      <c r="N15" s="1">
        <f t="shared" si="1"/>
        <v>0.15942028985507262</v>
      </c>
      <c r="O15" s="1">
        <f t="shared" si="1"/>
        <v>0.10766045548654254</v>
      </c>
      <c r="P15" s="1">
        <f t="shared" si="1"/>
        <v>0.12008281573498976</v>
      </c>
      <c r="Q15" s="1">
        <f t="shared" si="1"/>
        <v>0.17805383022774321</v>
      </c>
      <c r="R15" s="1">
        <f t="shared" si="1"/>
        <v>0.175983436853002</v>
      </c>
    </row>
  </sheetData>
  <mergeCells count="1">
    <mergeCell ref="M1:R1"/>
  </mergeCells>
  <conditionalFormatting sqref="M3:M15 N3:R8 N10:R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:P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"/>
  <sheetViews>
    <sheetView workbookViewId="0">
      <selection activeCell="L19" sqref="L19"/>
    </sheetView>
  </sheetViews>
  <sheetFormatPr baseColWidth="10" defaultColWidth="8.88671875" defaultRowHeight="14.4" x14ac:dyDescent="0.3"/>
  <sheetData>
    <row r="1" spans="1:18" x14ac:dyDescent="0.3">
      <c r="M1" s="3" t="s">
        <v>0</v>
      </c>
      <c r="N1" s="3"/>
      <c r="O1" s="3"/>
      <c r="P1" s="3"/>
      <c r="Q1" s="3"/>
      <c r="R1" s="3"/>
    </row>
    <row r="2" spans="1:18" x14ac:dyDescent="0.3">
      <c r="A2" s="2" t="s">
        <v>1</v>
      </c>
      <c r="B2" s="2" t="s">
        <v>2</v>
      </c>
      <c r="C2" s="2" t="s">
        <v>3</v>
      </c>
      <c r="D2" s="2" t="s">
        <v>18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19</v>
      </c>
      <c r="J2" s="2" t="s">
        <v>8</v>
      </c>
      <c r="K2" s="2" t="s">
        <v>20</v>
      </c>
      <c r="M2" s="2" t="s">
        <v>5</v>
      </c>
      <c r="N2" s="2" t="s">
        <v>6</v>
      </c>
      <c r="O2" s="2" t="s">
        <v>7</v>
      </c>
      <c r="P2" s="2" t="s">
        <v>19</v>
      </c>
      <c r="Q2" s="2" t="s">
        <v>8</v>
      </c>
      <c r="R2" s="2" t="s">
        <v>20</v>
      </c>
    </row>
    <row r="3" spans="1:18" x14ac:dyDescent="0.3">
      <c r="A3" t="s">
        <v>9</v>
      </c>
      <c r="B3" t="s">
        <v>10</v>
      </c>
      <c r="C3" t="s">
        <v>5</v>
      </c>
      <c r="D3">
        <v>100</v>
      </c>
      <c r="E3">
        <v>0.38200000000000001</v>
      </c>
      <c r="F3">
        <v>0.495</v>
      </c>
      <c r="G3">
        <v>0.50700000000000001</v>
      </c>
      <c r="H3">
        <v>0.50800000000000001</v>
      </c>
      <c r="I3">
        <v>0.52100000000000002</v>
      </c>
      <c r="J3">
        <v>0.47099999999999997</v>
      </c>
      <c r="K3">
        <v>0.43</v>
      </c>
      <c r="M3" s="1">
        <f>(F3-$E3)/$E3</f>
        <v>0.29581151832460728</v>
      </c>
      <c r="N3" s="1">
        <f t="shared" ref="N3:R8" si="0">(G3-$E3)/$E3</f>
        <v>0.32722513089005234</v>
      </c>
      <c r="O3" s="1">
        <f t="shared" si="0"/>
        <v>0.32984293193717279</v>
      </c>
      <c r="P3" s="1">
        <f t="shared" si="0"/>
        <v>0.36387434554973824</v>
      </c>
      <c r="Q3" s="1">
        <f t="shared" si="0"/>
        <v>0.23298429319371719</v>
      </c>
      <c r="R3" s="1">
        <f t="shared" si="0"/>
        <v>0.12565445026178007</v>
      </c>
    </row>
    <row r="4" spans="1:18" x14ac:dyDescent="0.3">
      <c r="A4" t="s">
        <v>9</v>
      </c>
      <c r="B4" t="s">
        <v>11</v>
      </c>
      <c r="C4" t="s">
        <v>5</v>
      </c>
      <c r="D4">
        <v>100</v>
      </c>
      <c r="E4">
        <v>0.51700000000000002</v>
      </c>
      <c r="F4">
        <v>0.629</v>
      </c>
      <c r="G4">
        <v>0.66400000000000003</v>
      </c>
      <c r="H4">
        <v>0.67300000000000004</v>
      </c>
      <c r="I4">
        <v>0.71699999999999997</v>
      </c>
      <c r="J4">
        <v>0.58499999999999996</v>
      </c>
      <c r="K4">
        <v>0.52700000000000002</v>
      </c>
      <c r="M4" s="1">
        <f t="shared" ref="M4:R15" si="1">(F4-$E4)/$E4</f>
        <v>0.21663442940038682</v>
      </c>
      <c r="N4" s="1">
        <f t="shared" si="0"/>
        <v>0.28433268858800775</v>
      </c>
      <c r="O4" s="1">
        <f t="shared" si="0"/>
        <v>0.30174081237911032</v>
      </c>
      <c r="P4" s="1">
        <f t="shared" si="0"/>
        <v>0.38684719535783357</v>
      </c>
      <c r="Q4" s="1">
        <f t="shared" si="0"/>
        <v>0.13152804642166335</v>
      </c>
      <c r="R4" s="1">
        <f t="shared" si="0"/>
        <v>1.9342359767891698E-2</v>
      </c>
    </row>
    <row r="5" spans="1:18" x14ac:dyDescent="0.3">
      <c r="A5" t="s">
        <v>9</v>
      </c>
      <c r="B5" t="s">
        <v>12</v>
      </c>
      <c r="C5" t="s">
        <v>5</v>
      </c>
      <c r="D5">
        <v>100</v>
      </c>
      <c r="E5">
        <v>0.46</v>
      </c>
      <c r="F5">
        <v>0.58399999999999996</v>
      </c>
      <c r="G5">
        <v>0.53600000000000003</v>
      </c>
      <c r="H5">
        <v>0.58799999999999997</v>
      </c>
      <c r="I5">
        <v>0.53500000000000003</v>
      </c>
      <c r="J5">
        <v>0.52600000000000002</v>
      </c>
      <c r="K5">
        <v>0.46899999999999997</v>
      </c>
      <c r="M5" s="1">
        <f t="shared" si="1"/>
        <v>0.26956521739130423</v>
      </c>
      <c r="N5" s="1">
        <f t="shared" si="0"/>
        <v>0.16521739130434784</v>
      </c>
      <c r="O5" s="1">
        <f t="shared" si="0"/>
        <v>0.27826086956521728</v>
      </c>
      <c r="P5" s="1">
        <f t="shared" si="0"/>
        <v>0.1630434782608696</v>
      </c>
      <c r="Q5" s="1">
        <f t="shared" si="0"/>
        <v>0.14347826086956522</v>
      </c>
      <c r="R5" s="1">
        <f t="shared" si="0"/>
        <v>1.9565217391304245E-2</v>
      </c>
    </row>
    <row r="6" spans="1:18" x14ac:dyDescent="0.3">
      <c r="A6" t="s">
        <v>9</v>
      </c>
      <c r="B6" t="s">
        <v>10</v>
      </c>
      <c r="C6" t="s">
        <v>13</v>
      </c>
      <c r="D6">
        <v>100</v>
      </c>
      <c r="E6">
        <v>0.186</v>
      </c>
      <c r="F6">
        <v>0.30299999999999999</v>
      </c>
      <c r="G6">
        <v>0.27200000000000002</v>
      </c>
      <c r="H6">
        <v>0.27300000000000002</v>
      </c>
      <c r="I6">
        <v>0.25900000000000001</v>
      </c>
      <c r="J6">
        <v>0.27300000000000002</v>
      </c>
      <c r="K6">
        <v>0.24</v>
      </c>
      <c r="M6" s="1">
        <f t="shared" si="1"/>
        <v>0.62903225806451613</v>
      </c>
      <c r="N6" s="1">
        <f t="shared" si="0"/>
        <v>0.46236559139784955</v>
      </c>
      <c r="O6" s="1">
        <f t="shared" si="0"/>
        <v>0.46774193548387111</v>
      </c>
      <c r="P6" s="1">
        <f t="shared" si="0"/>
        <v>0.39247311827956993</v>
      </c>
      <c r="Q6" s="1">
        <f t="shared" si="0"/>
        <v>0.46774193548387111</v>
      </c>
      <c r="R6" s="1">
        <f t="shared" si="0"/>
        <v>0.29032258064516125</v>
      </c>
    </row>
    <row r="7" spans="1:18" x14ac:dyDescent="0.3">
      <c r="A7" t="s">
        <v>9</v>
      </c>
      <c r="B7" t="s">
        <v>10</v>
      </c>
      <c r="C7" t="s">
        <v>14</v>
      </c>
      <c r="D7">
        <v>100</v>
      </c>
      <c r="E7">
        <v>0.42199999999999999</v>
      </c>
      <c r="F7">
        <v>0.52</v>
      </c>
      <c r="G7">
        <v>0.52900000000000003</v>
      </c>
      <c r="H7">
        <v>0.51</v>
      </c>
      <c r="I7">
        <v>0.57399999999999995</v>
      </c>
      <c r="J7">
        <v>0.51500000000000001</v>
      </c>
      <c r="K7">
        <v>0.46300000000000002</v>
      </c>
      <c r="M7" s="1">
        <f t="shared" si="1"/>
        <v>0.23222748815165886</v>
      </c>
      <c r="N7" s="1">
        <f t="shared" si="0"/>
        <v>0.25355450236966837</v>
      </c>
      <c r="O7" s="1">
        <f t="shared" si="0"/>
        <v>0.20853080568720386</v>
      </c>
      <c r="P7" s="1">
        <f t="shared" si="0"/>
        <v>0.36018957345971558</v>
      </c>
      <c r="Q7" s="1">
        <f t="shared" si="0"/>
        <v>0.22037914691943136</v>
      </c>
      <c r="R7" s="1">
        <f t="shared" si="0"/>
        <v>9.715639810426549E-2</v>
      </c>
    </row>
    <row r="8" spans="1:18" x14ac:dyDescent="0.3">
      <c r="A8" t="s">
        <v>9</v>
      </c>
      <c r="B8" t="s">
        <v>10</v>
      </c>
      <c r="C8" t="s">
        <v>15</v>
      </c>
      <c r="D8">
        <v>100</v>
      </c>
      <c r="E8">
        <v>0.45500000000000002</v>
      </c>
      <c r="F8">
        <v>0.69</v>
      </c>
      <c r="G8">
        <v>0.74199999999999999</v>
      </c>
      <c r="H8">
        <v>0.73399999999999999</v>
      </c>
      <c r="I8">
        <v>0.61499999999999999</v>
      </c>
      <c r="J8">
        <v>0.50700000000000001</v>
      </c>
      <c r="K8">
        <v>0.499</v>
      </c>
      <c r="M8" s="1">
        <f t="shared" si="1"/>
        <v>0.51648351648351631</v>
      </c>
      <c r="N8" s="1">
        <f t="shared" si="0"/>
        <v>0.63076923076923075</v>
      </c>
      <c r="O8" s="1">
        <f t="shared" si="0"/>
        <v>0.61318681318681312</v>
      </c>
      <c r="P8" s="1">
        <f t="shared" si="0"/>
        <v>0.35164835164835156</v>
      </c>
      <c r="Q8" s="1">
        <f t="shared" si="0"/>
        <v>0.11428571428571425</v>
      </c>
      <c r="R8" s="1">
        <f t="shared" si="0"/>
        <v>9.6703296703296665E-2</v>
      </c>
    </row>
    <row r="9" spans="1:18" x14ac:dyDescent="0.3">
      <c r="M9" s="1"/>
      <c r="N9" s="1"/>
      <c r="O9" s="1"/>
      <c r="P9" s="1"/>
    </row>
    <row r="10" spans="1:18" x14ac:dyDescent="0.3">
      <c r="A10" t="s">
        <v>16</v>
      </c>
      <c r="B10" t="s">
        <v>10</v>
      </c>
      <c r="C10" t="s">
        <v>5</v>
      </c>
      <c r="D10">
        <v>1</v>
      </c>
      <c r="E10">
        <v>0.19600000000000001</v>
      </c>
      <c r="F10">
        <v>0.22700000000000001</v>
      </c>
      <c r="G10">
        <v>0.24299999999999999</v>
      </c>
      <c r="H10">
        <v>0.24299999999999999</v>
      </c>
      <c r="I10">
        <v>0.27</v>
      </c>
      <c r="J10">
        <v>0.247</v>
      </c>
      <c r="K10">
        <v>0.193</v>
      </c>
      <c r="M10" s="1">
        <f t="shared" si="1"/>
        <v>0.15816326530612243</v>
      </c>
      <c r="N10" s="1">
        <f t="shared" si="1"/>
        <v>0.23979591836734687</v>
      </c>
      <c r="O10" s="1">
        <f t="shared" si="1"/>
        <v>0.23979591836734687</v>
      </c>
      <c r="P10" s="1">
        <f t="shared" si="1"/>
        <v>0.3775510204081633</v>
      </c>
      <c r="Q10" s="1">
        <f t="shared" si="1"/>
        <v>0.26020408163265302</v>
      </c>
      <c r="R10" s="1">
        <f t="shared" si="1"/>
        <v>-1.5306122448979605E-2</v>
      </c>
    </row>
    <row r="11" spans="1:18" x14ac:dyDescent="0.3">
      <c r="A11" t="s">
        <v>16</v>
      </c>
      <c r="B11" t="s">
        <v>10</v>
      </c>
      <c r="C11" t="s">
        <v>5</v>
      </c>
      <c r="D11">
        <v>10</v>
      </c>
      <c r="E11">
        <v>0.45</v>
      </c>
      <c r="F11">
        <v>0.53900000000000003</v>
      </c>
      <c r="G11">
        <v>0.55900000000000005</v>
      </c>
      <c r="H11">
        <v>0.55800000000000005</v>
      </c>
      <c r="I11">
        <v>0.58199999999999996</v>
      </c>
      <c r="J11">
        <v>0.52300000000000002</v>
      </c>
      <c r="K11">
        <v>0.47</v>
      </c>
      <c r="M11" s="1">
        <f t="shared" si="1"/>
        <v>0.19777777777777783</v>
      </c>
      <c r="N11" s="1">
        <f t="shared" si="1"/>
        <v>0.24222222222222231</v>
      </c>
      <c r="O11" s="1">
        <f t="shared" si="1"/>
        <v>0.24000000000000007</v>
      </c>
      <c r="P11" s="1">
        <f t="shared" si="1"/>
        <v>0.29333333333333322</v>
      </c>
      <c r="Q11" s="1">
        <f t="shared" si="1"/>
        <v>0.16222222222222224</v>
      </c>
      <c r="R11" s="1">
        <f t="shared" si="1"/>
        <v>4.4444444444444363E-2</v>
      </c>
    </row>
    <row r="12" spans="1:18" x14ac:dyDescent="0.3">
      <c r="A12" t="s">
        <v>16</v>
      </c>
      <c r="B12" t="s">
        <v>17</v>
      </c>
      <c r="C12" t="s">
        <v>5</v>
      </c>
      <c r="D12">
        <v>100</v>
      </c>
      <c r="E12">
        <v>0.45</v>
      </c>
      <c r="F12">
        <v>0.53900000000000003</v>
      </c>
      <c r="G12">
        <v>0.55900000000000005</v>
      </c>
      <c r="H12">
        <v>0.55800000000000005</v>
      </c>
      <c r="I12">
        <v>0.58199999999999996</v>
      </c>
      <c r="J12">
        <v>0.52600000000000002</v>
      </c>
      <c r="K12">
        <v>0.47</v>
      </c>
      <c r="M12" s="1">
        <f t="shared" si="1"/>
        <v>0.19777777777777783</v>
      </c>
      <c r="N12" s="1">
        <f t="shared" si="1"/>
        <v>0.24222222222222231</v>
      </c>
      <c r="O12" s="1">
        <f t="shared" si="1"/>
        <v>0.24000000000000007</v>
      </c>
      <c r="P12" s="1">
        <f t="shared" si="1"/>
        <v>0.29333333333333322</v>
      </c>
      <c r="Q12" s="1">
        <f t="shared" si="1"/>
        <v>0.16888888888888892</v>
      </c>
      <c r="R12" s="1">
        <f t="shared" si="1"/>
        <v>4.4444444444444363E-2</v>
      </c>
    </row>
    <row r="13" spans="1:18" x14ac:dyDescent="0.3">
      <c r="A13" t="s">
        <v>16</v>
      </c>
      <c r="B13" t="s">
        <v>10</v>
      </c>
      <c r="C13" t="s">
        <v>13</v>
      </c>
      <c r="D13">
        <v>100</v>
      </c>
      <c r="E13">
        <v>0.193</v>
      </c>
      <c r="F13">
        <v>0.308</v>
      </c>
      <c r="G13">
        <v>0.28199999999999997</v>
      </c>
      <c r="H13">
        <v>0.29099999999999998</v>
      </c>
      <c r="I13">
        <v>0.26600000000000001</v>
      </c>
      <c r="J13">
        <v>0.27900000000000003</v>
      </c>
      <c r="K13">
        <v>0.248</v>
      </c>
      <c r="M13" s="1">
        <f t="shared" si="1"/>
        <v>0.59585492227979264</v>
      </c>
      <c r="N13" s="1">
        <f t="shared" si="1"/>
        <v>0.4611398963730568</v>
      </c>
      <c r="O13" s="1">
        <f t="shared" si="1"/>
        <v>0.50777202072538852</v>
      </c>
      <c r="P13" s="1">
        <f t="shared" si="1"/>
        <v>0.37823834196891193</v>
      </c>
      <c r="Q13" s="1">
        <f t="shared" si="1"/>
        <v>0.44559585492227988</v>
      </c>
      <c r="R13" s="1">
        <f t="shared" si="1"/>
        <v>0.28497409326424866</v>
      </c>
    </row>
    <row r="14" spans="1:18" x14ac:dyDescent="0.3">
      <c r="A14" t="s">
        <v>16</v>
      </c>
      <c r="B14" t="s">
        <v>10</v>
      </c>
      <c r="C14" t="s">
        <v>14</v>
      </c>
      <c r="D14">
        <v>100</v>
      </c>
      <c r="E14">
        <v>0.48899999999999999</v>
      </c>
      <c r="F14">
        <v>0.56599999999999995</v>
      </c>
      <c r="G14">
        <v>0.58499999999999996</v>
      </c>
      <c r="H14">
        <v>0.55100000000000005</v>
      </c>
      <c r="I14">
        <v>0.65200000000000002</v>
      </c>
      <c r="J14">
        <v>0.59399999999999997</v>
      </c>
      <c r="K14">
        <v>0.51100000000000001</v>
      </c>
      <c r="M14" s="1">
        <f t="shared" si="1"/>
        <v>0.15746421267893651</v>
      </c>
      <c r="N14" s="1">
        <f t="shared" si="1"/>
        <v>0.19631901840490792</v>
      </c>
      <c r="O14" s="1">
        <f t="shared" si="1"/>
        <v>0.12678936605316984</v>
      </c>
      <c r="P14" s="1">
        <f t="shared" si="1"/>
        <v>0.33333333333333343</v>
      </c>
      <c r="Q14" s="1">
        <f t="shared" si="1"/>
        <v>0.21472392638036808</v>
      </c>
      <c r="R14" s="1">
        <f t="shared" si="1"/>
        <v>4.4989775051124788E-2</v>
      </c>
    </row>
    <row r="15" spans="1:18" x14ac:dyDescent="0.3">
      <c r="A15" t="s">
        <v>16</v>
      </c>
      <c r="B15" t="s">
        <v>10</v>
      </c>
      <c r="C15" t="s">
        <v>15</v>
      </c>
      <c r="D15">
        <v>100</v>
      </c>
      <c r="E15">
        <v>0.52100000000000002</v>
      </c>
      <c r="F15">
        <v>0.81100000000000005</v>
      </c>
      <c r="G15">
        <v>0.87</v>
      </c>
      <c r="H15">
        <v>0.85399999999999998</v>
      </c>
      <c r="I15">
        <v>0.70199999999999996</v>
      </c>
      <c r="J15">
        <v>0.59699999999999998</v>
      </c>
      <c r="K15">
        <v>0.55700000000000005</v>
      </c>
      <c r="M15" s="1">
        <f t="shared" si="1"/>
        <v>0.55662188099808063</v>
      </c>
      <c r="N15" s="1">
        <f t="shared" si="1"/>
        <v>0.66986564299424178</v>
      </c>
      <c r="O15" s="1">
        <f t="shared" si="1"/>
        <v>0.63915547024952002</v>
      </c>
      <c r="P15" s="1">
        <f t="shared" si="1"/>
        <v>0.34740882917466398</v>
      </c>
      <c r="Q15" s="1">
        <f t="shared" si="1"/>
        <v>0.14587332053742794</v>
      </c>
      <c r="R15" s="1">
        <f t="shared" si="1"/>
        <v>6.9097888675623859E-2</v>
      </c>
    </row>
  </sheetData>
  <mergeCells count="1">
    <mergeCell ref="M1:R1"/>
  </mergeCells>
  <conditionalFormatting sqref="M3:M15 N3:R8 N10:R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:P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</vt:lpstr>
      <vt:lpstr>TIP</vt:lpstr>
      <vt:lpstr>CAV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 Quentin Robert Tullio Farabolini</cp:lastModifiedBy>
  <dcterms:created xsi:type="dcterms:W3CDTF">2025-10-23T08:46:46Z</dcterms:created>
  <dcterms:modified xsi:type="dcterms:W3CDTF">2025-10-24T08:07:09Z</dcterms:modified>
</cp:coreProperties>
</file>